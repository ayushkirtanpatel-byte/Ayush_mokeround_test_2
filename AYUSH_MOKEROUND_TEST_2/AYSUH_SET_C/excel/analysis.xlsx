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INDEX/MATCH lookup on course_id -&gt; Lookup!department (XLOOKUP equivalent).</t>
        </r>
      </text>
    </comment>
  </commentList>
</comments>
</file>

<file path=xl/sharedStrings.xml><?xml version="1.0" encoding="utf-8"?>
<sst xmlns="http://schemas.openxmlformats.org/spreadsheetml/2006/main" count="136" uniqueCount="47">
  <si>
    <t xml:space="preserve">assessment_id</t>
  </si>
  <si>
    <t xml:space="preserve">month</t>
  </si>
  <si>
    <t xml:space="preserve">course_id</t>
  </si>
  <si>
    <t xml:space="preserve">batch</t>
  </si>
  <si>
    <t xml:space="preserve">score</t>
  </si>
  <si>
    <t xml:space="preserve">attendance_pct</t>
  </si>
  <si>
    <t xml:space="preserve">Raw data pasted unchanged: 13 data rows</t>
  </si>
  <si>
    <t xml:space="preserve">Jan</t>
  </si>
  <si>
    <t xml:space="preserve">C1</t>
  </si>
  <si>
    <t xml:space="preserve">Morning</t>
  </si>
  <si>
    <t xml:space="preserve">C2</t>
  </si>
  <si>
    <t xml:space="preserve">Evening</t>
  </si>
  <si>
    <t xml:space="preserve">C3</t>
  </si>
  <si>
    <t xml:space="preserve">C4</t>
  </si>
  <si>
    <t xml:space="preserve">Weekend</t>
  </si>
  <si>
    <t xml:space="preserve">Feb</t>
  </si>
  <si>
    <t xml:space="preserve">Mar</t>
  </si>
  <si>
    <t xml:space="preserve">&lt;- exact duplicate of assessment_id 12 (removed in Clean)</t>
  </si>
  <si>
    <t xml:space="preserve">course</t>
  </si>
  <si>
    <t xml:space="preserve">department</t>
  </si>
  <si>
    <t xml:space="preserve">Excel</t>
  </si>
  <si>
    <t xml:space="preserve">Business</t>
  </si>
  <si>
    <t xml:space="preserve">PowerBI</t>
  </si>
  <si>
    <t xml:space="preserve">SQL</t>
  </si>
  <si>
    <t xml:space="preserve">Technology</t>
  </si>
  <si>
    <t xml:space="preserve">Python</t>
  </si>
  <si>
    <t xml:space="preserve">pass_flag</t>
  </si>
  <si>
    <t xml:space="preserve">Row-count check</t>
  </si>
  <si>
    <t xml:space="preserve">Before (Raw) rows</t>
  </si>
  <si>
    <t xml:space="preserve">After (Clean) rows</t>
  </si>
  <si>
    <t xml:space="preserve">Duplicates removed</t>
  </si>
  <si>
    <t xml:space="preserve">Set C - Training Performance: Summary</t>
  </si>
  <si>
    <t xml:space="preserve">Table 1 - Passing assessments by batch (COUNTIFS on Clean!pass_flag = 1)</t>
  </si>
  <si>
    <t xml:space="preserve">passing_assessments</t>
  </si>
  <si>
    <t xml:space="preserve">total_assessments</t>
  </si>
  <si>
    <t xml:space="preserve">pass_rate</t>
  </si>
  <si>
    <t xml:space="preserve">Total</t>
  </si>
  <si>
    <t xml:space="preserve">Table 2 - Average score: department (rows) x month (columns, Jan -&gt; Feb -&gt; Mar)</t>
  </si>
  <si>
    <t xml:space="preserve">Live AVERAGEIFS layout of the PivotTable. The native PivotTable (Insert &gt; PivotTable) is placed at A32 below.</t>
  </si>
  <si>
    <t xml:space="preserve">Cross-tool reconciliation values (Excel side)</t>
  </si>
  <si>
    <t xml:space="preserve">metric</t>
  </si>
  <si>
    <t xml:space="preserve">value</t>
  </si>
  <si>
    <t xml:space="preserve">Technology avg score</t>
  </si>
  <si>
    <t xml:space="preserve">Business avg score</t>
  </si>
  <si>
    <t xml:space="preserve">Overall pass rate</t>
  </si>
  <si>
    <t xml:space="preserve">Table 3 - Native PivotTable (average score by department x month)</t>
  </si>
  <si>
    <t xml:space="preserve">Insert it here: select Clean!A1:H13 &gt; Insert &gt; PivotTable &gt; Existing worksheet Summary!A32. Rows: department | Columns: month | Values: Average of score.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</si>
</sst>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Summary!$B$13:$B$14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Summary!$C$13:$C$14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</c:ser>
        <c:ser>
          <c:idx val="2"/>
          <c:order val="2"/>
          <c:tx>
            <c:strRef>
              <c:f>Summary!D12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Summary!$D$13:$D$14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</c:ser>
        <c:gapWidth val="150"/>
        <c:overlap val="0"/>
        <c:axId val="40016198"/>
        <c:axId val="56662228"/>
      </c:barChart>
      <c:catAx>
        <c:axId val="40016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62228"/>
        <c:crosses val="autoZero"/>
        <c:auto val="1"/>
        <c:lblAlgn val="ctr"/>
        <c:lblOffset val="100"/>
        <c:noMultiLvlLbl val="0"/>
      </c:catAx>
      <c:valAx>
        <c:axId val="56662228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161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255960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5638680" y="3808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3" t="n">
        <v>72</v>
      </c>
      <c r="F2" s="3" t="n">
        <v>90</v>
      </c>
    </row>
    <row r="3" customFormat="false" ht="15" hidden="false" customHeight="false" outlineLevel="0" collapsed="false">
      <c r="A3" s="3" t="n">
        <v>2</v>
      </c>
      <c r="B3" s="3" t="s">
        <v>7</v>
      </c>
      <c r="C3" s="3" t="s">
        <v>10</v>
      </c>
      <c r="D3" s="3" t="s">
        <v>11</v>
      </c>
      <c r="E3" s="3" t="n">
        <v>45</v>
      </c>
      <c r="F3" s="3" t="n">
        <v>70</v>
      </c>
    </row>
    <row r="4" customFormat="false" ht="15" hidden="false" customHeight="false" outlineLevel="0" collapsed="false">
      <c r="A4" s="3" t="n">
        <v>3</v>
      </c>
      <c r="B4" s="3" t="s">
        <v>7</v>
      </c>
      <c r="C4" s="3" t="s">
        <v>12</v>
      </c>
      <c r="D4" s="3" t="s">
        <v>9</v>
      </c>
      <c r="E4" s="3" t="n">
        <v>65</v>
      </c>
      <c r="F4" s="3" t="n">
        <v>85</v>
      </c>
    </row>
    <row r="5" customFormat="false" ht="15" hidden="false" customHeight="false" outlineLevel="0" collapsed="false">
      <c r="A5" s="3" t="n">
        <v>4</v>
      </c>
      <c r="B5" s="3" t="s">
        <v>7</v>
      </c>
      <c r="C5" s="3" t="s">
        <v>13</v>
      </c>
      <c r="D5" s="3" t="s">
        <v>14</v>
      </c>
      <c r="E5" s="3" t="n">
        <v>38</v>
      </c>
      <c r="F5" s="3" t="n">
        <v>60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s">
        <v>8</v>
      </c>
      <c r="D6" s="3" t="s">
        <v>11</v>
      </c>
      <c r="E6" s="3" t="n">
        <v>80</v>
      </c>
      <c r="F6" s="3" t="n">
        <v>95</v>
      </c>
    </row>
    <row r="7" customFormat="false" ht="15" hidden="false" customHeight="false" outlineLevel="0" collapsed="false">
      <c r="A7" s="3" t="n">
        <v>6</v>
      </c>
      <c r="B7" s="3" t="s">
        <v>15</v>
      </c>
      <c r="C7" s="3" t="s">
        <v>10</v>
      </c>
      <c r="D7" s="3" t="s">
        <v>14</v>
      </c>
      <c r="E7" s="3" t="n">
        <v>55</v>
      </c>
      <c r="F7" s="3" t="n">
        <v>80</v>
      </c>
    </row>
    <row r="8" customFormat="false" ht="15" hidden="false" customHeight="false" outlineLevel="0" collapsed="false">
      <c r="A8" s="3" t="n">
        <v>7</v>
      </c>
      <c r="B8" s="3" t="s">
        <v>15</v>
      </c>
      <c r="C8" s="3" t="s">
        <v>12</v>
      </c>
      <c r="D8" s="3" t="s">
        <v>9</v>
      </c>
      <c r="E8" s="3" t="n">
        <v>48</v>
      </c>
      <c r="F8" s="3" t="n">
        <v>75</v>
      </c>
    </row>
    <row r="9" customFormat="false" ht="15" hidden="false" customHeight="false" outlineLevel="0" collapsed="false">
      <c r="A9" s="3" t="n">
        <v>8</v>
      </c>
      <c r="B9" s="3" t="s">
        <v>15</v>
      </c>
      <c r="C9" s="3" t="s">
        <v>13</v>
      </c>
      <c r="D9" s="3" t="s">
        <v>11</v>
      </c>
      <c r="E9" s="3" t="n">
        <v>68</v>
      </c>
      <c r="F9" s="3" t="n">
        <v>88</v>
      </c>
    </row>
    <row r="10" customFormat="false" ht="15" hidden="false" customHeight="false" outlineLevel="0" collapsed="false">
      <c r="A10" s="3" t="n">
        <v>9</v>
      </c>
      <c r="B10" s="3" t="s">
        <v>16</v>
      </c>
      <c r="C10" s="3" t="s">
        <v>8</v>
      </c>
      <c r="D10" s="3" t="s">
        <v>14</v>
      </c>
      <c r="E10" s="3" t="n">
        <v>90</v>
      </c>
      <c r="F10" s="3" t="n">
        <v>98</v>
      </c>
    </row>
    <row r="11" customFormat="false" ht="15" hidden="false" customHeight="false" outlineLevel="0" collapsed="false">
      <c r="A11" s="3" t="n">
        <v>10</v>
      </c>
      <c r="B11" s="3" t="s">
        <v>16</v>
      </c>
      <c r="C11" s="3" t="s">
        <v>10</v>
      </c>
      <c r="D11" s="3" t="s">
        <v>9</v>
      </c>
      <c r="E11" s="3" t="n">
        <v>60</v>
      </c>
      <c r="F11" s="3" t="n">
        <v>82</v>
      </c>
    </row>
    <row r="12" customFormat="false" ht="15" hidden="false" customHeight="false" outlineLevel="0" collapsed="false">
      <c r="A12" s="3" t="n">
        <v>11</v>
      </c>
      <c r="B12" s="3" t="s">
        <v>16</v>
      </c>
      <c r="C12" s="3" t="s">
        <v>12</v>
      </c>
      <c r="D12" s="3" t="s">
        <v>11</v>
      </c>
      <c r="E12" s="3" t="n">
        <v>75</v>
      </c>
      <c r="F12" s="3" t="n">
        <v>92</v>
      </c>
    </row>
    <row r="13" customFormat="false" ht="15" hidden="false" customHeight="false" outlineLevel="0" collapsed="false">
      <c r="A13" s="3" t="n">
        <v>12</v>
      </c>
      <c r="B13" s="3" t="s">
        <v>16</v>
      </c>
      <c r="C13" s="3" t="s">
        <v>13</v>
      </c>
      <c r="D13" s="3" t="s">
        <v>14</v>
      </c>
      <c r="E13" s="3" t="n">
        <v>42</v>
      </c>
      <c r="F13" s="3" t="n">
        <v>65</v>
      </c>
    </row>
    <row r="14" customFormat="false" ht="15" hidden="false" customHeight="false" outlineLevel="0" collapsed="false">
      <c r="A14" s="4" t="n">
        <v>12</v>
      </c>
      <c r="B14" s="4" t="s">
        <v>16</v>
      </c>
      <c r="C14" s="4" t="s">
        <v>13</v>
      </c>
      <c r="D14" s="4" t="s">
        <v>14</v>
      </c>
      <c r="E14" s="4" t="n">
        <v>42</v>
      </c>
      <c r="F14" s="4" t="n">
        <v>65</v>
      </c>
      <c r="H14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2</v>
      </c>
      <c r="B1" s="1" t="s">
        <v>18</v>
      </c>
      <c r="C1" s="1" t="s">
        <v>19</v>
      </c>
    </row>
    <row r="2" customFormat="false" ht="15" hidden="false" customHeight="false" outlineLevel="0" collapsed="false">
      <c r="A2" s="3" t="s">
        <v>8</v>
      </c>
      <c r="B2" s="3" t="s">
        <v>20</v>
      </c>
      <c r="C2" s="3" t="s">
        <v>21</v>
      </c>
    </row>
    <row r="3" customFormat="false" ht="15" hidden="false" customHeight="false" outlineLevel="0" collapsed="false">
      <c r="A3" s="3" t="s">
        <v>10</v>
      </c>
      <c r="B3" s="3" t="s">
        <v>22</v>
      </c>
      <c r="C3" s="3" t="s">
        <v>21</v>
      </c>
    </row>
    <row r="4" customFormat="false" ht="15" hidden="false" customHeight="false" outlineLevel="0" collapsed="false">
      <c r="A4" s="3" t="s">
        <v>12</v>
      </c>
      <c r="B4" s="3" t="s">
        <v>23</v>
      </c>
      <c r="C4" s="3" t="s">
        <v>24</v>
      </c>
    </row>
    <row r="5" customFormat="false" ht="15" hidden="false" customHeight="false" outlineLevel="0" collapsed="false">
      <c r="A5" s="3" t="s">
        <v>13</v>
      </c>
      <c r="B5" s="3" t="s">
        <v>25</v>
      </c>
      <c r="C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26</v>
      </c>
      <c r="J1" s="2" t="s">
        <v>27</v>
      </c>
    </row>
    <row r="2" customFormat="false" ht="15" hidden="false" customHeight="false" outlineLevel="0" collapsed="false">
      <c r="A2" s="3" t="n">
        <v>1</v>
      </c>
      <c r="B2" s="3" t="s">
        <v>7</v>
      </c>
      <c r="C2" s="3" t="s">
        <v>8</v>
      </c>
      <c r="D2" s="3" t="s">
        <v>9</v>
      </c>
      <c r="E2" s="3" t="n">
        <v>72</v>
      </c>
      <c r="F2" s="3" t="n">
        <v>90</v>
      </c>
      <c r="G2" s="3" t="str">
        <f aca="false">INDEX(Lookup!$C$2:$C$5,MATCH(C2,Lookup!$A$2:$A$5,0))</f>
        <v>Business</v>
      </c>
      <c r="H2" s="3" t="n">
        <f aca="false">IF(E2&gt;=50,1,0)</f>
        <v>1</v>
      </c>
      <c r="J2" s="6" t="s">
        <v>28</v>
      </c>
      <c r="K2" s="3" t="n">
        <f aca="false">COUNTA(Raw!A2:A14)</f>
        <v>13</v>
      </c>
    </row>
    <row r="3" customFormat="false" ht="15" hidden="false" customHeight="false" outlineLevel="0" collapsed="false">
      <c r="A3" s="3" t="n">
        <v>2</v>
      </c>
      <c r="B3" s="3" t="s">
        <v>7</v>
      </c>
      <c r="C3" s="3" t="s">
        <v>10</v>
      </c>
      <c r="D3" s="3" t="s">
        <v>11</v>
      </c>
      <c r="E3" s="3" t="n">
        <v>45</v>
      </c>
      <c r="F3" s="3" t="n">
        <v>70</v>
      </c>
      <c r="G3" s="3" t="str">
        <f aca="false">INDEX(Lookup!$C$2:$C$5,MATCH(C3,Lookup!$A$2:$A$5,0))</f>
        <v>Business</v>
      </c>
      <c r="H3" s="3" t="n">
        <f aca="false">IF(E3&gt;=50,1,0)</f>
        <v>0</v>
      </c>
      <c r="J3" s="6" t="s">
        <v>29</v>
      </c>
      <c r="K3" s="3" t="n">
        <f aca="false">COUNTA(A2:A13)</f>
        <v>12</v>
      </c>
    </row>
    <row r="4" customFormat="false" ht="15" hidden="false" customHeight="false" outlineLevel="0" collapsed="false">
      <c r="A4" s="3" t="n">
        <v>3</v>
      </c>
      <c r="B4" s="3" t="s">
        <v>7</v>
      </c>
      <c r="C4" s="3" t="s">
        <v>12</v>
      </c>
      <c r="D4" s="3" t="s">
        <v>9</v>
      </c>
      <c r="E4" s="3" t="n">
        <v>65</v>
      </c>
      <c r="F4" s="3" t="n">
        <v>85</v>
      </c>
      <c r="G4" s="3" t="str">
        <f aca="false">INDEX(Lookup!$C$2:$C$5,MATCH(C4,Lookup!$A$2:$A$5,0))</f>
        <v>Technology</v>
      </c>
      <c r="H4" s="3" t="n">
        <f aca="false">IF(E4&gt;=50,1,0)</f>
        <v>1</v>
      </c>
      <c r="J4" s="6" t="s">
        <v>30</v>
      </c>
      <c r="K4" s="3" t="n">
        <f aca="false">K2-K3</f>
        <v>1</v>
      </c>
    </row>
    <row r="5" customFormat="false" ht="15" hidden="false" customHeight="false" outlineLevel="0" collapsed="false">
      <c r="A5" s="3" t="n">
        <v>4</v>
      </c>
      <c r="B5" s="3" t="s">
        <v>7</v>
      </c>
      <c r="C5" s="3" t="s">
        <v>13</v>
      </c>
      <c r="D5" s="3" t="s">
        <v>14</v>
      </c>
      <c r="E5" s="3" t="n">
        <v>38</v>
      </c>
      <c r="F5" s="3" t="n">
        <v>60</v>
      </c>
      <c r="G5" s="3" t="str">
        <f aca="false">INDEX(Lookup!$C$2:$C$5,MATCH(C5,Lookup!$A$2:$A$5,0))</f>
        <v>Technology</v>
      </c>
      <c r="H5" s="3" t="n">
        <f aca="false">IF(E5&gt;=50,1,0)</f>
        <v>0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s">
        <v>8</v>
      </c>
      <c r="D6" s="3" t="s">
        <v>11</v>
      </c>
      <c r="E6" s="3" t="n">
        <v>80</v>
      </c>
      <c r="F6" s="3" t="n">
        <v>95</v>
      </c>
      <c r="G6" s="3" t="str">
        <f aca="false">INDEX(Lookup!$C$2:$C$5,MATCH(C6,Lookup!$A$2:$A$5,0))</f>
        <v>Business</v>
      </c>
      <c r="H6" s="3" t="n">
        <f aca="false">IF(E6&gt;=50,1,0)</f>
        <v>1</v>
      </c>
    </row>
    <row r="7" customFormat="false" ht="15" hidden="false" customHeight="false" outlineLevel="0" collapsed="false">
      <c r="A7" s="3" t="n">
        <v>6</v>
      </c>
      <c r="B7" s="3" t="s">
        <v>15</v>
      </c>
      <c r="C7" s="3" t="s">
        <v>10</v>
      </c>
      <c r="D7" s="3" t="s">
        <v>14</v>
      </c>
      <c r="E7" s="3" t="n">
        <v>55</v>
      </c>
      <c r="F7" s="3" t="n">
        <v>80</v>
      </c>
      <c r="G7" s="3" t="str">
        <f aca="false">INDEX(Lookup!$C$2:$C$5,MATCH(C7,Lookup!$A$2:$A$5,0))</f>
        <v>Business</v>
      </c>
      <c r="H7" s="3" t="n">
        <f aca="false">IF(E7&gt;=50,1,0)</f>
        <v>1</v>
      </c>
    </row>
    <row r="8" customFormat="false" ht="15" hidden="false" customHeight="false" outlineLevel="0" collapsed="false">
      <c r="A8" s="3" t="n">
        <v>7</v>
      </c>
      <c r="B8" s="3" t="s">
        <v>15</v>
      </c>
      <c r="C8" s="3" t="s">
        <v>12</v>
      </c>
      <c r="D8" s="3" t="s">
        <v>9</v>
      </c>
      <c r="E8" s="3" t="n">
        <v>48</v>
      </c>
      <c r="F8" s="3" t="n">
        <v>75</v>
      </c>
      <c r="G8" s="3" t="str">
        <f aca="false">INDEX(Lookup!$C$2:$C$5,MATCH(C8,Lookup!$A$2:$A$5,0))</f>
        <v>Technology</v>
      </c>
      <c r="H8" s="3" t="n">
        <f aca="false">IF(E8&gt;=50,1,0)</f>
        <v>0</v>
      </c>
    </row>
    <row r="9" customFormat="false" ht="15" hidden="false" customHeight="false" outlineLevel="0" collapsed="false">
      <c r="A9" s="3" t="n">
        <v>8</v>
      </c>
      <c r="B9" s="3" t="s">
        <v>15</v>
      </c>
      <c r="C9" s="3" t="s">
        <v>13</v>
      </c>
      <c r="D9" s="3" t="s">
        <v>11</v>
      </c>
      <c r="E9" s="3" t="n">
        <v>68</v>
      </c>
      <c r="F9" s="3" t="n">
        <v>88</v>
      </c>
      <c r="G9" s="3" t="str">
        <f aca="false">INDEX(Lookup!$C$2:$C$5,MATCH(C9,Lookup!$A$2:$A$5,0))</f>
        <v>Technology</v>
      </c>
      <c r="H9" s="3" t="n">
        <f aca="false">IF(E9&gt;=50,1,0)</f>
        <v>1</v>
      </c>
    </row>
    <row r="10" customFormat="false" ht="15" hidden="false" customHeight="false" outlineLevel="0" collapsed="false">
      <c r="A10" s="3" t="n">
        <v>9</v>
      </c>
      <c r="B10" s="3" t="s">
        <v>16</v>
      </c>
      <c r="C10" s="3" t="s">
        <v>8</v>
      </c>
      <c r="D10" s="3" t="s">
        <v>14</v>
      </c>
      <c r="E10" s="3" t="n">
        <v>90</v>
      </c>
      <c r="F10" s="3" t="n">
        <v>98</v>
      </c>
      <c r="G10" s="3" t="str">
        <f aca="false">INDEX(Lookup!$C$2:$C$5,MATCH(C10,Lookup!$A$2:$A$5,0))</f>
        <v>Business</v>
      </c>
      <c r="H10" s="3" t="n">
        <f aca="false">IF(E10&gt;=50,1,0)</f>
        <v>1</v>
      </c>
    </row>
    <row r="11" customFormat="false" ht="15" hidden="false" customHeight="false" outlineLevel="0" collapsed="false">
      <c r="A11" s="3" t="n">
        <v>10</v>
      </c>
      <c r="B11" s="3" t="s">
        <v>16</v>
      </c>
      <c r="C11" s="3" t="s">
        <v>10</v>
      </c>
      <c r="D11" s="3" t="s">
        <v>9</v>
      </c>
      <c r="E11" s="3" t="n">
        <v>60</v>
      </c>
      <c r="F11" s="3" t="n">
        <v>82</v>
      </c>
      <c r="G11" s="3" t="str">
        <f aca="false">INDEX(Lookup!$C$2:$C$5,MATCH(C11,Lookup!$A$2:$A$5,0))</f>
        <v>Business</v>
      </c>
      <c r="H11" s="3" t="n">
        <f aca="false">IF(E11&gt;=50,1,0)</f>
        <v>1</v>
      </c>
    </row>
    <row r="12" customFormat="false" ht="15" hidden="false" customHeight="false" outlineLevel="0" collapsed="false">
      <c r="A12" s="3" t="n">
        <v>11</v>
      </c>
      <c r="B12" s="3" t="s">
        <v>16</v>
      </c>
      <c r="C12" s="3" t="s">
        <v>12</v>
      </c>
      <c r="D12" s="3" t="s">
        <v>11</v>
      </c>
      <c r="E12" s="3" t="n">
        <v>75</v>
      </c>
      <c r="F12" s="3" t="n">
        <v>92</v>
      </c>
      <c r="G12" s="3" t="str">
        <f aca="false">INDEX(Lookup!$C$2:$C$5,MATCH(C12,Lookup!$A$2:$A$5,0))</f>
        <v>Technology</v>
      </c>
      <c r="H12" s="3" t="n">
        <f aca="false">IF(E12&gt;=50,1,0)</f>
        <v>1</v>
      </c>
    </row>
    <row r="13" customFormat="false" ht="15" hidden="false" customHeight="false" outlineLevel="0" collapsed="false">
      <c r="A13" s="3" t="n">
        <v>12</v>
      </c>
      <c r="B13" s="3" t="s">
        <v>16</v>
      </c>
      <c r="C13" s="3" t="s">
        <v>13</v>
      </c>
      <c r="D13" s="3" t="s">
        <v>14</v>
      </c>
      <c r="E13" s="3" t="n">
        <v>42</v>
      </c>
      <c r="F13" s="3" t="n">
        <v>65</v>
      </c>
      <c r="G13" s="3" t="str">
        <f aca="false">INDEX(Lookup!$C$2:$C$5,MATCH(C13,Lookup!$A$2:$A$5,0))</f>
        <v>Technology</v>
      </c>
      <c r="H13" s="3" t="n">
        <f aca="false">IF(E13&gt;=50,1,0)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3"/>
  </cols>
  <sheetData>
    <row r="1" customFormat="false" ht="17.35" hidden="false" customHeight="false" outlineLevel="0" collapsed="false">
      <c r="A1" s="7" t="s">
        <v>31</v>
      </c>
    </row>
    <row r="3" customFormat="false" ht="15" hidden="false" customHeight="false" outlineLevel="0" collapsed="false">
      <c r="A3" s="2" t="s">
        <v>32</v>
      </c>
    </row>
    <row r="4" customFormat="false" ht="15" hidden="false" customHeight="false" outlineLevel="0" collapsed="false">
      <c r="A4" s="1" t="s">
        <v>3</v>
      </c>
      <c r="B4" s="1" t="s">
        <v>33</v>
      </c>
      <c r="C4" s="1" t="s">
        <v>34</v>
      </c>
      <c r="D4" s="1" t="s">
        <v>35</v>
      </c>
    </row>
    <row r="5" customFormat="false" ht="15" hidden="false" customHeight="false" outlineLevel="0" collapsed="false">
      <c r="A5" s="3" t="s">
        <v>9</v>
      </c>
      <c r="B5" s="3" t="n">
        <f aca="false">COUNTIFS(Clean!$D$2:$D$13,A5,Clean!$H$2:$H$13,1)</f>
        <v>3</v>
      </c>
      <c r="C5" s="3" t="n">
        <f aca="false">COUNTIFS(Clean!$D$2:$D$13,A5)</f>
        <v>4</v>
      </c>
      <c r="D5" s="8" t="n">
        <f aca="false">IF(C5=0,0,B5/C5)</f>
        <v>0.75</v>
      </c>
    </row>
    <row r="6" customFormat="false" ht="15" hidden="false" customHeight="false" outlineLevel="0" collapsed="false">
      <c r="A6" s="3" t="s">
        <v>11</v>
      </c>
      <c r="B6" s="3" t="n">
        <f aca="false">COUNTIFS(Clean!$D$2:$D$13,A6,Clean!$H$2:$H$13,1)</f>
        <v>3</v>
      </c>
      <c r="C6" s="3" t="n">
        <f aca="false">COUNTIFS(Clean!$D$2:$D$13,A6)</f>
        <v>4</v>
      </c>
      <c r="D6" s="8" t="n">
        <f aca="false">IF(C6=0,0,B6/C6)</f>
        <v>0.75</v>
      </c>
    </row>
    <row r="7" customFormat="false" ht="15" hidden="false" customHeight="false" outlineLevel="0" collapsed="false">
      <c r="A7" s="3" t="s">
        <v>14</v>
      </c>
      <c r="B7" s="3" t="n">
        <f aca="false">COUNTIFS(Clean!$D$2:$D$13,A7,Clean!$H$2:$H$13,1)</f>
        <v>2</v>
      </c>
      <c r="C7" s="3" t="n">
        <f aca="false">COUNTIFS(Clean!$D$2:$D$13,A7)</f>
        <v>4</v>
      </c>
      <c r="D7" s="8" t="n">
        <f aca="false">IF(C7=0,0,B7/C7)</f>
        <v>0.5</v>
      </c>
    </row>
    <row r="8" customFormat="false" ht="15" hidden="false" customHeight="false" outlineLevel="0" collapsed="false">
      <c r="A8" s="9" t="s">
        <v>36</v>
      </c>
      <c r="B8" s="9" t="n">
        <f aca="false">SUM(B5:B7)</f>
        <v>8</v>
      </c>
      <c r="C8" s="9" t="n">
        <f aca="false">SUM(C5:C7)</f>
        <v>12</v>
      </c>
      <c r="D8" s="10" t="n">
        <f aca="false">IF(C8=0,0,B8/C8)</f>
        <v>0.666666666666667</v>
      </c>
    </row>
    <row r="11" customFormat="false" ht="15" hidden="false" customHeight="false" outlineLevel="0" collapsed="false">
      <c r="A11" s="2" t="s">
        <v>37</v>
      </c>
    </row>
    <row r="12" customFormat="false" ht="15" hidden="false" customHeight="false" outlineLevel="0" collapsed="false">
      <c r="A12" s="1" t="s">
        <v>19</v>
      </c>
      <c r="B12" s="1" t="s">
        <v>7</v>
      </c>
      <c r="C12" s="1" t="s">
        <v>15</v>
      </c>
      <c r="D12" s="1" t="s">
        <v>16</v>
      </c>
    </row>
    <row r="13" customFormat="false" ht="15" hidden="false" customHeight="false" outlineLevel="0" collapsed="false">
      <c r="A13" s="3" t="s">
        <v>21</v>
      </c>
      <c r="B13" s="11" t="n">
        <f aca="false">AVERAGEIFS(Clean!$E$2:$E$13,Clean!$G$2:$G$13,$A13,Clean!$B$2:$B$13,B$12)</f>
        <v>58.5</v>
      </c>
      <c r="C13" s="11" t="n">
        <f aca="false">AVERAGEIFS(Clean!$E$2:$E$13,Clean!$G$2:$G$13,$A13,Clean!$B$2:$B$13,C$12)</f>
        <v>67.5</v>
      </c>
      <c r="D13" s="11" t="n">
        <f aca="false">AVERAGEIFS(Clean!$E$2:$E$13,Clean!$G$2:$G$13,$A13,Clean!$B$2:$B$13,D$12)</f>
        <v>75</v>
      </c>
    </row>
    <row r="14" customFormat="false" ht="15" hidden="false" customHeight="false" outlineLevel="0" collapsed="false">
      <c r="A14" s="3" t="s">
        <v>24</v>
      </c>
      <c r="B14" s="11" t="n">
        <f aca="false">AVERAGEIFS(Clean!$E$2:$E$13,Clean!$G$2:$G$13,$A14,Clean!$B$2:$B$13,B$12)</f>
        <v>51.5</v>
      </c>
      <c r="C14" s="11" t="n">
        <f aca="false">AVERAGEIFS(Clean!$E$2:$E$13,Clean!$G$2:$G$13,$A14,Clean!$B$2:$B$13,C$12)</f>
        <v>58</v>
      </c>
      <c r="D14" s="11" t="n">
        <f aca="false">AVERAGEIFS(Clean!$E$2:$E$13,Clean!$G$2:$G$13,$A14,Clean!$B$2:$B$13,D$12)</f>
        <v>58.5</v>
      </c>
    </row>
    <row r="15" customFormat="false" ht="15" hidden="false" customHeight="false" outlineLevel="0" collapsed="false">
      <c r="A15" s="12" t="s">
        <v>38</v>
      </c>
    </row>
    <row r="18" customFormat="false" ht="15" hidden="false" customHeight="false" outlineLevel="0" collapsed="false">
      <c r="A18" s="2" t="s">
        <v>39</v>
      </c>
    </row>
    <row r="19" customFormat="false" ht="15" hidden="false" customHeight="false" outlineLevel="0" collapsed="false">
      <c r="A19" s="1" t="s">
        <v>40</v>
      </c>
      <c r="B19" s="1" t="s">
        <v>41</v>
      </c>
    </row>
    <row r="20" customFormat="false" ht="15" hidden="false" customHeight="false" outlineLevel="0" collapsed="false">
      <c r="A20" s="3" t="s">
        <v>42</v>
      </c>
      <c r="B20" s="11" t="n">
        <f aca="false">AVERAGEIFS(Clean!$E$2:$E$13,Clean!$G$2:$G$13,"Technology")</f>
        <v>56</v>
      </c>
    </row>
    <row r="21" customFormat="false" ht="15" hidden="false" customHeight="false" outlineLevel="0" collapsed="false">
      <c r="A21" s="3" t="s">
        <v>43</v>
      </c>
      <c r="B21" s="11" t="n">
        <f aca="false">AVERAGEIFS(Clean!$E$2:$E$13,Clean!$G$2:$G$13,"Business")</f>
        <v>67</v>
      </c>
    </row>
    <row r="22" customFormat="false" ht="15" hidden="false" customHeight="false" outlineLevel="0" collapsed="false">
      <c r="A22" s="3" t="s">
        <v>44</v>
      </c>
      <c r="B22" s="8" t="n">
        <f aca="false">SUM(Clean!$H$2:$H$13)/COUNT(Clean!$H$2:$H$13)</f>
        <v>0.666666666666667</v>
      </c>
    </row>
    <row r="30" customFormat="false" ht="15" hidden="false" customHeight="false" outlineLevel="0" collapsed="false">
      <c r="A30" s="2" t="s">
        <v>45</v>
      </c>
    </row>
    <row r="31" customFormat="false" ht="15" hidden="false" customHeight="false" outlineLevel="0" collapsed="false">
      <c r="A3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2026-10-03T04:10:18Z</dcterms:created>
  <dc:creator>openpyxl</dc:creator>
  <dc:description/>
  <dc:language>en-US</dc:language>
  <cp:lastModifiedBy/>
  <dcterms:modified xsi:type="dcterms:W3CDTF">2026-10-03T04:10:20Z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